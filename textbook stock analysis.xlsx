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list of textbookS" sheetId="1" state="visible" r:id="rId3"/>
    <sheet name="Analysi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<sst xmlns="http://schemas.openxmlformats.org/spreadsheetml/2006/main" count="166" uniqueCount="50">
  <si>
    <t xml:space="preserve">Class</t>
  </si>
  <si>
    <t xml:space="preserve">Subject</t>
  </si>
  <si>
    <t xml:space="preserve">Book/Series</t>
  </si>
  <si>
    <t xml:space="preserve">Copies Needed</t>
  </si>
  <si>
    <t xml:space="preserve">Copies Available</t>
  </si>
  <si>
    <t xml:space="preserve">Status</t>
  </si>
  <si>
    <t xml:space="preserve">Nursery 1</t>
  </si>
  <si>
    <t xml:space="preserve">Numeracy</t>
  </si>
  <si>
    <t xml:space="preserve">Excellence Series</t>
  </si>
  <si>
    <t xml:space="preserve">Available</t>
  </si>
  <si>
    <t xml:space="preserve">Phonics</t>
  </si>
  <si>
    <t xml:space="preserve">Colouring</t>
  </si>
  <si>
    <t xml:space="preserve">Literacy</t>
  </si>
  <si>
    <t xml:space="preserve">Nursery  2</t>
  </si>
  <si>
    <t xml:space="preserve">Nursery 2</t>
  </si>
  <si>
    <t xml:space="preserve">KG1</t>
  </si>
  <si>
    <t xml:space="preserve">Advocate</t>
  </si>
  <si>
    <t xml:space="preserve">Computing</t>
  </si>
  <si>
    <t xml:space="preserve">Not available</t>
  </si>
  <si>
    <t xml:space="preserve">Science</t>
  </si>
  <si>
    <t xml:space="preserve">Creative Arts</t>
  </si>
  <si>
    <t xml:space="preserve">KG2</t>
  </si>
  <si>
    <t xml:space="preserve">Essential</t>
  </si>
  <si>
    <t xml:space="preserve">Best Brain</t>
  </si>
  <si>
    <t xml:space="preserve">Basic 1</t>
  </si>
  <si>
    <t xml:space="preserve">Maths </t>
  </si>
  <si>
    <t xml:space="preserve">Perfect Series</t>
  </si>
  <si>
    <t xml:space="preserve">English</t>
  </si>
  <si>
    <t xml:space="preserve">Basic 2</t>
  </si>
  <si>
    <t xml:space="preserve">Basic 3</t>
  </si>
  <si>
    <t xml:space="preserve">Basic 4</t>
  </si>
  <si>
    <t xml:space="preserve">Naky Nuggets</t>
  </si>
  <si>
    <t xml:space="preserve">Basic 5</t>
  </si>
  <si>
    <t xml:space="preserve">JHS</t>
  </si>
  <si>
    <t xml:space="preserve">Textbook Analysis Summary</t>
  </si>
  <si>
    <t xml:space="preserve">Total textbook records</t>
  </si>
  <si>
    <t xml:space="preserve">Total copies needed</t>
  </si>
  <si>
    <t xml:space="preserve">Total copies available</t>
  </si>
  <si>
    <t xml:space="preserve">  </t>
  </si>
  <si>
    <t xml:space="preserve">Total copies missing</t>
  </si>
  <si>
    <t xml:space="preserve">Available records</t>
  </si>
  <si>
    <t xml:space="preserve">Not available records</t>
  </si>
  <si>
    <t xml:space="preserve">Availability rate</t>
  </si>
  <si>
    <t xml:space="preserve">CLASS TABLE</t>
  </si>
  <si>
    <t xml:space="preserve">Copies Missing</t>
  </si>
  <si>
    <t xml:space="preserve">Availability %</t>
  </si>
  <si>
    <t xml:space="preserve">Basic 6</t>
  </si>
  <si>
    <t xml:space="preserve">SUBJECT ANALYSIS</t>
  </si>
  <si>
    <t xml:space="preserve">Availability Rate</t>
  </si>
  <si>
    <t xml:space="preserve">Maths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</si>
</sst>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rial Black"/>
      <family val="2"/>
      <charset val="1"/>
    </font>
    <font>
      <sz val="14"/>
      <color rgb="FF595959"/>
      <name val="Calibri"/>
      <family val="2"/>
    </font>
    <font>
      <sz val="9"/>
      <color rgb="FF595959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lang="en-US" sz="1400" strike="noStrike" u="none">
                <a:solidFill>
                  <a:srgbClr val="595959"/>
                </a:solidFill>
                <a:uFillTx/>
                <a:latin typeface="Calibri"/>
              </a:rPr>
              <a:t>Copies Missing by</a:t>
            </a:r>
            <a:r>
              <a:rPr b="0" lang="en-US" sz="1400" strike="noStrike" u="none">
                <a:solidFill>
                  <a:srgbClr val="595959"/>
                </a:solidFill>
                <a:uFillTx/>
                <a:latin typeface="Calibri"/>
              </a:rPr>
              <a:t> Subject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Analysis!$D$58</c:f>
              <c:strCache>
                <c:ptCount val="1"/>
                <c:pt idx="0">
                  <c:v>Copies Missing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Analysis!$A$59:$A$67</c:f>
              <c:strCache>
                <c:ptCount val="9"/>
                <c:pt idx="0">
                  <c:v>Numeracy</c:v>
                </c:pt>
                <c:pt idx="1">
                  <c:v>Literacy</c:v>
                </c:pt>
                <c:pt idx="2">
                  <c:v>Phonics</c:v>
                </c:pt>
                <c:pt idx="3">
                  <c:v>Colouring</c:v>
                </c:pt>
                <c:pt idx="4">
                  <c:v>Computing</c:v>
                </c:pt>
                <c:pt idx="5">
                  <c:v>Science</c:v>
                </c:pt>
                <c:pt idx="6">
                  <c:v>Creative Arts</c:v>
                </c:pt>
                <c:pt idx="7">
                  <c:v>Maths</c:v>
                </c:pt>
                <c:pt idx="8">
                  <c:v>English</c:v>
                </c:pt>
              </c:strCache>
            </c:strRef>
          </c:cat>
          <c:val>
            <c:numRef>
              <c:f>Analysis!$D$59:$D$67</c:f>
              <c:numCache>
                <c:formatCode>General</c:formatCode>
                <c:ptCount val="9"/>
                <c:pt idx="0">
                  <c:v>0</c:v>
                </c:pt>
                <c:pt idx="1">
                  <c:v>10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11</c:v>
                </c:pt>
                <c:pt idx="6">
                  <c:v>22</c:v>
                </c:pt>
                <c:pt idx="7">
                  <c:v>0</c:v>
                </c:pt>
                <c:pt idx="8">
                  <c:v>4</c:v>
                </c:pt>
              </c:numCache>
            </c:numRef>
          </c:val>
        </c:ser>
        <c:gapWidth val="182"/>
        <c:overlap val="0"/>
        <c:axId val="42425620"/>
        <c:axId val="40812752"/>
      </c:barChart>
      <c:catAx>
        <c:axId val="424256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40812752"/>
        <c:crosses val="autoZero"/>
        <c:auto val="1"/>
        <c:lblAlgn val="ctr"/>
        <c:lblOffset val="100"/>
        <c:noMultiLvlLbl val="0"/>
      </c:catAx>
      <c:valAx>
        <c:axId val="4081275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4242562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lang="en-US" sz="1400" strike="noStrike" u="none">
                <a:solidFill>
                  <a:srgbClr val="595959"/>
                </a:solidFill>
                <a:uFillTx/>
                <a:latin typeface="Calibri"/>
              </a:rPr>
              <a:t>Copies Missing by Class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Analysis!$D$42</c:f>
              <c:strCache>
                <c:ptCount val="1"/>
                <c:pt idx="0">
                  <c:v>Copies Missing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Analysis!$A$43:$A$53</c:f>
              <c:strCache>
                <c:ptCount val="11"/>
                <c:pt idx="0">
                  <c:v>Nursery 1</c:v>
                </c:pt>
                <c:pt idx="1">
                  <c:v>Nursery 2</c:v>
                </c:pt>
                <c:pt idx="2">
                  <c:v>KG1</c:v>
                </c:pt>
                <c:pt idx="3">
                  <c:v>KG2</c:v>
                </c:pt>
                <c:pt idx="4">
                  <c:v>Basic 1</c:v>
                </c:pt>
                <c:pt idx="5">
                  <c:v>Basic 2</c:v>
                </c:pt>
                <c:pt idx="6">
                  <c:v>Basic 3</c:v>
                </c:pt>
                <c:pt idx="7">
                  <c:v>Basic 4</c:v>
                </c:pt>
                <c:pt idx="8">
                  <c:v>Basic 5</c:v>
                </c:pt>
                <c:pt idx="9">
                  <c:v>Basic 6</c:v>
                </c:pt>
                <c:pt idx="10">
                  <c:v>JHS</c:v>
                </c:pt>
              </c:strCache>
            </c:strRef>
          </c:cat>
          <c:val>
            <c:numRef>
              <c:f>Analysis!$D$43:$D$53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24</c:v>
                </c:pt>
                <c:pt idx="3">
                  <c:v>29</c:v>
                </c:pt>
                <c:pt idx="4">
                  <c:v>16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gapWidth val="182"/>
        <c:overlap val="0"/>
        <c:axId val="82406729"/>
        <c:axId val="80124562"/>
      </c:barChart>
      <c:catAx>
        <c:axId val="8240672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80124562"/>
        <c:crosses val="autoZero"/>
        <c:auto val="1"/>
        <c:lblAlgn val="ctr"/>
        <c:lblOffset val="100"/>
        <c:noMultiLvlLbl val="0"/>
      </c:catAx>
      <c:valAx>
        <c:axId val="8012456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8240672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lang="en-US" sz="1400" strike="noStrike" u="none">
                <a:solidFill>
                  <a:srgbClr val="595959"/>
                </a:solidFill>
                <a:uFillTx/>
                <a:latin typeface="Calibri"/>
              </a:rPr>
              <a:t>Overall</a:t>
            </a:r>
            <a:r>
              <a:rPr b="0" lang="en-US" sz="1400" strike="noStrike" u="none">
                <a:solidFill>
                  <a:srgbClr val="595959"/>
                </a:solidFill>
                <a:uFillTx/>
                <a:latin typeface="Calibri"/>
              </a:rPr>
              <a:t> Textbook Availability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a5a5a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Analysis!$A$4:$A$6</c:f>
              <c:strCache>
                <c:ptCount val="3"/>
                <c:pt idx="0">
                  <c:v>Total copies needed</c:v>
                </c:pt>
                <c:pt idx="1">
                  <c:v>Total copies available</c:v>
                </c:pt>
                <c:pt idx="2">
                  <c:v>Total copies missing</c:v>
                </c:pt>
              </c:strCache>
            </c:strRef>
          </c:cat>
          <c:val>
            <c:numRef>
              <c:f>Analysis!$D$4:$D$6</c:f>
              <c:numCache>
                <c:formatCode>General</c:formatCode>
                <c:ptCount val="3"/>
                <c:pt idx="0">
                  <c:v>261</c:v>
                </c:pt>
                <c:pt idx="1">
                  <c:v>192</c:v>
                </c:pt>
                <c:pt idx="2">
                  <c:v>69</c:v>
                </c:pt>
              </c:numCache>
            </c:numRef>
          </c:val>
        </c:ser>
        <c:gapWidth val="219"/>
        <c:overlap val="-27"/>
        <c:axId val="31870356"/>
        <c:axId val="65530128"/>
      </c:barChart>
      <c:catAx>
        <c:axId val="318703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65530128"/>
        <c:crosses val="autoZero"/>
        <c:auto val="1"/>
        <c:lblAlgn val="ctr"/>
        <c:lblOffset val="100"/>
        <c:noMultiLvlLbl val="0"/>
      </c:catAx>
      <c:valAx>
        <c:axId val="6553012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3187035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18720</xdr:colOff>
      <xdr:row>22</xdr:row>
      <xdr:rowOff>36000</xdr:rowOff>
    </xdr:from>
    <xdr:to>
      <xdr:col>4</xdr:col>
      <xdr:colOff>576000</xdr:colOff>
      <xdr:row>36</xdr:row>
      <xdr:rowOff>111960</xdr:rowOff>
    </xdr:to>
    <xdr:graphicFrame>
      <xdr:nvGraphicFramePr>
        <xdr:cNvPr id="0" name="Chart 2"/>
        <xdr:cNvGraphicFramePr/>
      </xdr:nvGraphicFramePr>
      <xdr:xfrm>
        <a:off x="18720" y="4227120"/>
        <a:ext cx="482652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39600</xdr:colOff>
      <xdr:row>10</xdr:row>
      <xdr:rowOff>99360</xdr:rowOff>
    </xdr:from>
    <xdr:to>
      <xdr:col>11</xdr:col>
      <xdr:colOff>303120</xdr:colOff>
      <xdr:row>22</xdr:row>
      <xdr:rowOff>107640</xdr:rowOff>
    </xdr:to>
    <xdr:graphicFrame>
      <xdr:nvGraphicFramePr>
        <xdr:cNvPr id="1" name="Chart 1"/>
        <xdr:cNvGraphicFramePr/>
      </xdr:nvGraphicFramePr>
      <xdr:xfrm>
        <a:off x="5245200" y="2004480"/>
        <a:ext cx="4358160" cy="2294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303840</xdr:colOff>
      <xdr:row>10</xdr:row>
      <xdr:rowOff>64800</xdr:rowOff>
    </xdr:from>
    <xdr:to>
      <xdr:col>3</xdr:col>
      <xdr:colOff>1001880</xdr:colOff>
      <xdr:row>21</xdr:row>
      <xdr:rowOff>11160</xdr:rowOff>
    </xdr:to>
    <xdr:graphicFrame>
      <xdr:nvGraphicFramePr>
        <xdr:cNvPr id="2" name="Chart 3"/>
        <xdr:cNvGraphicFramePr/>
      </xdr:nvGraphicFramePr>
      <xdr:xfrm>
        <a:off x="303840" y="1969920"/>
        <a:ext cx="3930120" cy="2041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2" displayName="Table2" ref="A1:F32" headerRowCount="1" totalsRowCount="0" totalsRowShown="0">
  <autoFilter ref="A1:F32"/>
  <tableColumns count="6">
    <tableColumn id="1" name="Class"/>
    <tableColumn id="2" name="Subject"/>
    <tableColumn id="3" name="Book/Series"/>
    <tableColumn id="4" name="Copies Needed"/>
    <tableColumn id="5" name="Copies Available"/>
    <tableColumn id="6" name="Statu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I6" activeCellId="0" sqref="I6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1.43"/>
    <col collapsed="false" customWidth="true" hidden="false" outlineLevel="0" max="2" min="2" style="0" width="15.85"/>
    <col collapsed="false" customWidth="true" hidden="false" outlineLevel="0" max="3" min="3" style="1" width="23.71"/>
    <col collapsed="false" customWidth="true" hidden="false" outlineLevel="0" max="4" min="4" style="1" width="20"/>
    <col collapsed="false" customWidth="true" hidden="false" outlineLevel="0" max="5" min="5" style="1" width="25.29"/>
    <col collapsed="false" customWidth="true" hidden="false" outlineLevel="0" max="6" min="6" style="1" width="17.15"/>
  </cols>
  <sheetData>
    <row r="1" s="3" customFormat="true" ht="15" hidden="false" customHeight="false" outlineLevel="0" collapsed="false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false" outlineLevel="0" collapsed="false">
      <c r="A2" s="1" t="s">
        <v>6</v>
      </c>
      <c r="B2" s="0" t="s">
        <v>7</v>
      </c>
      <c r="C2" s="1" t="s">
        <v>8</v>
      </c>
      <c r="D2" s="1" t="n">
        <v>10</v>
      </c>
      <c r="E2" s="1" t="n">
        <v>10</v>
      </c>
      <c r="F2" s="1" t="s">
        <v>9</v>
      </c>
    </row>
    <row r="3" customFormat="false" ht="15" hidden="false" customHeight="false" outlineLevel="0" collapsed="false">
      <c r="A3" s="1" t="s">
        <v>6</v>
      </c>
      <c r="B3" s="0" t="s">
        <v>10</v>
      </c>
      <c r="C3" s="1" t="s">
        <v>8</v>
      </c>
      <c r="D3" s="1" t="n">
        <v>10</v>
      </c>
      <c r="E3" s="1" t="n">
        <v>10</v>
      </c>
      <c r="F3" s="1" t="s">
        <v>9</v>
      </c>
    </row>
    <row r="4" customFormat="false" ht="15" hidden="false" customHeight="false" outlineLevel="0" collapsed="false">
      <c r="A4" s="1" t="s">
        <v>6</v>
      </c>
      <c r="B4" s="0" t="s">
        <v>11</v>
      </c>
      <c r="C4" s="1" t="s">
        <v>8</v>
      </c>
      <c r="D4" s="1" t="n">
        <v>10</v>
      </c>
      <c r="E4" s="1" t="n">
        <v>10</v>
      </c>
      <c r="F4" s="1" t="s">
        <v>9</v>
      </c>
    </row>
    <row r="5" customFormat="false" ht="15" hidden="false" customHeight="false" outlineLevel="0" collapsed="false">
      <c r="A5" s="1" t="s">
        <v>6</v>
      </c>
      <c r="B5" s="0" t="s">
        <v>12</v>
      </c>
      <c r="C5" s="1" t="s">
        <v>8</v>
      </c>
      <c r="D5" s="1" t="n">
        <v>10</v>
      </c>
      <c r="E5" s="1" t="n">
        <v>10</v>
      </c>
      <c r="F5" s="1" t="s">
        <v>9</v>
      </c>
    </row>
    <row r="6" customFormat="false" ht="15" hidden="false" customHeight="false" outlineLevel="0" collapsed="false">
      <c r="A6" s="1" t="s">
        <v>13</v>
      </c>
      <c r="B6" s="0" t="s">
        <v>7</v>
      </c>
      <c r="C6" s="1" t="s">
        <v>8</v>
      </c>
      <c r="D6" s="1" t="n">
        <v>20</v>
      </c>
      <c r="E6" s="1" t="n">
        <v>20</v>
      </c>
      <c r="F6" s="1" t="s">
        <v>9</v>
      </c>
    </row>
    <row r="7" customFormat="false" ht="15" hidden="false" customHeight="false" outlineLevel="0" collapsed="false">
      <c r="A7" s="1" t="s">
        <v>14</v>
      </c>
      <c r="B7" s="0" t="s">
        <v>10</v>
      </c>
      <c r="C7" s="1" t="s">
        <v>8</v>
      </c>
      <c r="D7" s="1" t="n">
        <v>20</v>
      </c>
      <c r="E7" s="1" t="n">
        <v>20</v>
      </c>
      <c r="F7" s="1" t="s">
        <v>9</v>
      </c>
    </row>
    <row r="8" customFormat="false" ht="15" hidden="false" customHeight="false" outlineLevel="0" collapsed="false">
      <c r="A8" s="1" t="s">
        <v>14</v>
      </c>
      <c r="B8" s="0" t="s">
        <v>11</v>
      </c>
      <c r="C8" s="1" t="s">
        <v>8</v>
      </c>
      <c r="D8" s="1" t="n">
        <v>20</v>
      </c>
      <c r="E8" s="1" t="n">
        <v>20</v>
      </c>
      <c r="F8" s="1" t="s">
        <v>9</v>
      </c>
    </row>
    <row r="9" customFormat="false" ht="15" hidden="false" customHeight="false" outlineLevel="0" collapsed="false">
      <c r="A9" s="1" t="s">
        <v>14</v>
      </c>
      <c r="B9" s="0" t="s">
        <v>12</v>
      </c>
      <c r="C9" s="1" t="s">
        <v>8</v>
      </c>
      <c r="D9" s="1" t="n">
        <v>20</v>
      </c>
      <c r="E9" s="1" t="n">
        <v>20</v>
      </c>
      <c r="F9" s="1" t="s">
        <v>9</v>
      </c>
    </row>
    <row r="10" customFormat="false" ht="15" hidden="false" customHeight="false" outlineLevel="0" collapsed="false">
      <c r="A10" s="1" t="s">
        <v>15</v>
      </c>
      <c r="B10" s="0" t="s">
        <v>7</v>
      </c>
      <c r="C10" s="1" t="s">
        <v>16</v>
      </c>
      <c r="D10" s="1" t="n">
        <v>8</v>
      </c>
      <c r="E10" s="1" t="n">
        <v>8</v>
      </c>
      <c r="F10" s="1" t="s">
        <v>9</v>
      </c>
    </row>
    <row r="11" customFormat="false" ht="15" hidden="false" customHeight="false" outlineLevel="0" collapsed="false">
      <c r="A11" s="1" t="s">
        <v>15</v>
      </c>
      <c r="B11" s="0" t="s">
        <v>12</v>
      </c>
      <c r="C11" s="1" t="s">
        <v>16</v>
      </c>
      <c r="D11" s="1" t="n">
        <v>8</v>
      </c>
      <c r="E11" s="1" t="n">
        <v>8</v>
      </c>
      <c r="F11" s="1" t="s">
        <v>9</v>
      </c>
    </row>
    <row r="12" customFormat="false" ht="15" hidden="false" customHeight="false" outlineLevel="0" collapsed="false">
      <c r="A12" s="1" t="s">
        <v>15</v>
      </c>
      <c r="B12" s="0" t="s">
        <v>17</v>
      </c>
      <c r="C12" s="1" t="s">
        <v>16</v>
      </c>
      <c r="D12" s="1" t="n">
        <v>8</v>
      </c>
      <c r="E12" s="1" t="n">
        <v>0</v>
      </c>
      <c r="F12" s="1" t="s">
        <v>18</v>
      </c>
    </row>
    <row r="13" customFormat="false" ht="15" hidden="false" customHeight="false" outlineLevel="0" collapsed="false">
      <c r="A13" s="1" t="s">
        <v>15</v>
      </c>
      <c r="B13" s="0" t="s">
        <v>19</v>
      </c>
      <c r="C13" s="1" t="s">
        <v>16</v>
      </c>
      <c r="D13" s="1" t="n">
        <v>8</v>
      </c>
      <c r="E13" s="1" t="n">
        <v>0</v>
      </c>
      <c r="F13" s="1" t="s">
        <v>18</v>
      </c>
    </row>
    <row r="14" customFormat="false" ht="15" hidden="false" customHeight="false" outlineLevel="0" collapsed="false">
      <c r="A14" s="1" t="s">
        <v>15</v>
      </c>
      <c r="B14" s="0" t="s">
        <v>20</v>
      </c>
      <c r="C14" s="1" t="s">
        <v>16</v>
      </c>
      <c r="D14" s="1" t="n">
        <v>8</v>
      </c>
      <c r="E14" s="1" t="n">
        <v>0</v>
      </c>
      <c r="F14" s="1" t="s">
        <v>18</v>
      </c>
    </row>
    <row r="15" customFormat="false" ht="15" hidden="false" customHeight="false" outlineLevel="0" collapsed="false">
      <c r="A15" s="1" t="s">
        <v>21</v>
      </c>
      <c r="B15" s="0" t="s">
        <v>7</v>
      </c>
      <c r="C15" s="1" t="s">
        <v>16</v>
      </c>
      <c r="D15" s="1" t="n">
        <v>10</v>
      </c>
      <c r="E15" s="1" t="n">
        <v>10</v>
      </c>
      <c r="F15" s="1" t="s">
        <v>9</v>
      </c>
    </row>
    <row r="16" customFormat="false" ht="15" hidden="false" customHeight="false" outlineLevel="0" collapsed="false">
      <c r="A16" s="1" t="s">
        <v>21</v>
      </c>
      <c r="B16" s="0" t="s">
        <v>12</v>
      </c>
      <c r="C16" s="1" t="s">
        <v>16</v>
      </c>
      <c r="D16" s="1" t="n">
        <v>10</v>
      </c>
      <c r="E16" s="1" t="n">
        <v>0</v>
      </c>
      <c r="F16" s="1" t="s">
        <v>18</v>
      </c>
    </row>
    <row r="17" customFormat="false" ht="15" hidden="false" customHeight="false" outlineLevel="0" collapsed="false">
      <c r="A17" s="1" t="s">
        <v>21</v>
      </c>
      <c r="B17" s="0" t="s">
        <v>19</v>
      </c>
      <c r="C17" s="1" t="s">
        <v>22</v>
      </c>
      <c r="D17" s="1" t="n">
        <v>9</v>
      </c>
      <c r="E17" s="1" t="n">
        <v>10</v>
      </c>
      <c r="F17" s="1" t="s">
        <v>9</v>
      </c>
    </row>
    <row r="18" customFormat="false" ht="15" hidden="false" customHeight="false" outlineLevel="0" collapsed="false">
      <c r="A18" s="1" t="s">
        <v>21</v>
      </c>
      <c r="B18" s="0" t="s">
        <v>17</v>
      </c>
      <c r="C18" s="1" t="s">
        <v>23</v>
      </c>
      <c r="D18" s="1" t="n">
        <v>10</v>
      </c>
      <c r="E18" s="1" t="n">
        <v>0</v>
      </c>
      <c r="F18" s="1" t="s">
        <v>18</v>
      </c>
    </row>
    <row r="19" customFormat="false" ht="15" hidden="false" customHeight="false" outlineLevel="0" collapsed="false">
      <c r="A19" s="1" t="s">
        <v>21</v>
      </c>
      <c r="B19" s="0" t="s">
        <v>20</v>
      </c>
      <c r="C19" s="1" t="s">
        <v>23</v>
      </c>
      <c r="D19" s="1" t="n">
        <v>10</v>
      </c>
      <c r="E19" s="1" t="n">
        <v>0</v>
      </c>
      <c r="F19" s="1" t="s">
        <v>18</v>
      </c>
    </row>
    <row r="20" customFormat="false" ht="15" hidden="false" customHeight="false" outlineLevel="0" collapsed="false">
      <c r="A20" s="1" t="s">
        <v>24</v>
      </c>
      <c r="B20" s="0" t="s">
        <v>25</v>
      </c>
      <c r="C20" s="1" t="s">
        <v>26</v>
      </c>
      <c r="D20" s="1" t="n">
        <v>4</v>
      </c>
      <c r="E20" s="1" t="n">
        <v>4</v>
      </c>
      <c r="F20" s="1" t="s">
        <v>9</v>
      </c>
    </row>
    <row r="21" customFormat="false" ht="15" hidden="false" customHeight="false" outlineLevel="0" collapsed="false">
      <c r="A21" s="1" t="s">
        <v>24</v>
      </c>
      <c r="B21" s="0" t="s">
        <v>19</v>
      </c>
      <c r="C21" s="1" t="s">
        <v>23</v>
      </c>
      <c r="D21" s="1" t="n">
        <v>4</v>
      </c>
      <c r="E21" s="1" t="n">
        <v>0</v>
      </c>
      <c r="F21" s="1" t="s">
        <v>18</v>
      </c>
    </row>
    <row r="22" customFormat="false" ht="15" hidden="false" customHeight="false" outlineLevel="0" collapsed="false">
      <c r="A22" s="1" t="s">
        <v>24</v>
      </c>
      <c r="B22" s="0" t="s">
        <v>27</v>
      </c>
      <c r="C22" s="1" t="s">
        <v>23</v>
      </c>
      <c r="D22" s="1" t="n">
        <v>4</v>
      </c>
      <c r="E22" s="1" t="n">
        <v>0</v>
      </c>
      <c r="F22" s="1" t="s">
        <v>18</v>
      </c>
    </row>
    <row r="23" customFormat="false" ht="15" hidden="false" customHeight="false" outlineLevel="0" collapsed="false">
      <c r="A23" s="1" t="s">
        <v>24</v>
      </c>
      <c r="B23" s="0" t="s">
        <v>17</v>
      </c>
      <c r="C23" s="1" t="s">
        <v>23</v>
      </c>
      <c r="D23" s="1" t="n">
        <v>4</v>
      </c>
      <c r="E23" s="1" t="n">
        <v>0</v>
      </c>
      <c r="F23" s="1" t="s">
        <v>18</v>
      </c>
    </row>
    <row r="24" customFormat="false" ht="15" hidden="false" customHeight="false" outlineLevel="0" collapsed="false">
      <c r="A24" s="1" t="s">
        <v>24</v>
      </c>
      <c r="B24" s="0" t="s">
        <v>20</v>
      </c>
      <c r="D24" s="1" t="n">
        <v>4</v>
      </c>
      <c r="E24" s="1" t="n">
        <v>0</v>
      </c>
      <c r="F24" s="1" t="s">
        <v>18</v>
      </c>
    </row>
    <row r="25" customFormat="false" ht="15" hidden="false" customHeight="false" outlineLevel="0" collapsed="false">
      <c r="A25" s="1" t="s">
        <v>28</v>
      </c>
      <c r="B25" s="0" t="s">
        <v>25</v>
      </c>
      <c r="C25" s="1" t="s">
        <v>8</v>
      </c>
      <c r="D25" s="1" t="n">
        <v>12</v>
      </c>
      <c r="E25" s="1" t="n">
        <v>12</v>
      </c>
      <c r="F25" s="1" t="s">
        <v>9</v>
      </c>
    </row>
    <row r="26" customFormat="false" ht="15" hidden="false" customHeight="false" outlineLevel="0" collapsed="false">
      <c r="A26" s="1" t="s">
        <v>29</v>
      </c>
      <c r="B26" s="0" t="s">
        <v>25</v>
      </c>
      <c r="C26" s="1" t="s">
        <v>8</v>
      </c>
      <c r="D26" s="1" t="n">
        <v>5</v>
      </c>
      <c r="E26" s="1" t="n">
        <v>5</v>
      </c>
      <c r="F26" s="1" t="s">
        <v>9</v>
      </c>
    </row>
    <row r="27" customFormat="false" ht="15" hidden="false" customHeight="false" outlineLevel="0" collapsed="false">
      <c r="A27" s="1" t="s">
        <v>30</v>
      </c>
      <c r="B27" s="0" t="s">
        <v>20</v>
      </c>
      <c r="C27" s="1" t="s">
        <v>31</v>
      </c>
      <c r="D27" s="1" t="n">
        <v>3</v>
      </c>
      <c r="E27" s="1" t="n">
        <v>3</v>
      </c>
      <c r="F27" s="1" t="s">
        <v>9</v>
      </c>
    </row>
    <row r="28" customFormat="false" ht="15" hidden="false" customHeight="false" outlineLevel="0" collapsed="false">
      <c r="A28" s="1" t="s">
        <v>30</v>
      </c>
      <c r="B28" s="0" t="s">
        <v>25</v>
      </c>
      <c r="C28" s="1" t="s">
        <v>8</v>
      </c>
      <c r="D28" s="1" t="n">
        <v>3</v>
      </c>
      <c r="E28" s="1" t="n">
        <v>3</v>
      </c>
      <c r="F28" s="1" t="s">
        <v>9</v>
      </c>
    </row>
    <row r="29" customFormat="false" ht="15" hidden="false" customHeight="false" outlineLevel="0" collapsed="false">
      <c r="A29" s="1" t="s">
        <v>32</v>
      </c>
      <c r="B29" s="0" t="s">
        <v>20</v>
      </c>
      <c r="C29" s="1" t="s">
        <v>31</v>
      </c>
      <c r="D29" s="1" t="n">
        <v>4</v>
      </c>
      <c r="E29" s="1" t="n">
        <v>4</v>
      </c>
      <c r="F29" s="1" t="s">
        <v>9</v>
      </c>
    </row>
    <row r="30" customFormat="false" ht="15" hidden="false" customHeight="false" outlineLevel="0" collapsed="false">
      <c r="A30" s="1" t="s">
        <v>32</v>
      </c>
      <c r="B30" s="0" t="s">
        <v>25</v>
      </c>
      <c r="C30" s="1" t="s">
        <v>8</v>
      </c>
      <c r="D30" s="1" t="n">
        <v>4</v>
      </c>
      <c r="E30" s="1" t="n">
        <v>4</v>
      </c>
      <c r="F30" s="1" t="s">
        <v>9</v>
      </c>
    </row>
    <row r="31" customFormat="false" ht="15" hidden="false" customHeight="false" outlineLevel="0" collapsed="false">
      <c r="A31" s="1" t="s">
        <v>33</v>
      </c>
      <c r="B31" s="0" t="s">
        <v>20</v>
      </c>
      <c r="C31" s="1" t="s">
        <v>31</v>
      </c>
      <c r="D31" s="1" t="n">
        <v>1</v>
      </c>
      <c r="E31" s="1" t="n">
        <v>1</v>
      </c>
      <c r="F31" s="1" t="s"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7"/>
  <sheetViews>
    <sheetView showFormulas="false" showGridLines="true" showRowColHeaders="true" showZeros="true" rightToLeft="false" tabSelected="true" showOutlineSymbols="true" defaultGridColor="true" view="normal" topLeftCell="A49" colorId="64" zoomScale="85" zoomScaleNormal="85" zoomScalePageLayoutView="100" workbookViewId="0">
      <selection pane="topLeft" activeCell="C43" activeCellId="0" sqref="C43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.86"/>
    <col collapsed="false" customWidth="true" hidden="false" outlineLevel="0" max="2" min="2" style="0" width="17.71"/>
    <col collapsed="false" customWidth="true" hidden="false" outlineLevel="0" max="3" min="3" style="0" width="15.29"/>
    <col collapsed="false" customWidth="true" hidden="false" outlineLevel="0" max="4" min="4" style="0" width="14.71"/>
    <col collapsed="false" customWidth="true" hidden="false" outlineLevel="0" max="5" min="5" style="0" width="13.29"/>
    <col collapsed="false" customWidth="true" hidden="false" outlineLevel="0" max="6" min="6" style="0" width="14.71"/>
  </cols>
  <sheetData>
    <row r="1" customFormat="false" ht="15" hidden="false" customHeight="false" outlineLevel="0" collapsed="false">
      <c r="A1" s="0" t="s">
        <v>34</v>
      </c>
    </row>
    <row r="3" customFormat="false" ht="15" hidden="false" customHeight="false" outlineLevel="0" collapsed="false">
      <c r="A3" s="0" t="s">
        <v>35</v>
      </c>
      <c r="D3" s="0" t="n">
        <f aca="false">COUNTA('list of textbookS'!A2:A31)</f>
        <v>30</v>
      </c>
    </row>
    <row r="4" customFormat="false" ht="15" hidden="false" customHeight="false" outlineLevel="0" collapsed="false">
      <c r="A4" s="0" t="s">
        <v>36</v>
      </c>
      <c r="D4" s="0" t="n">
        <f aca="false">SUM('list of textbookS'!D2:D31)</f>
        <v>261</v>
      </c>
    </row>
    <row r="5" customFormat="false" ht="15" hidden="false" customHeight="false" outlineLevel="0" collapsed="false">
      <c r="A5" s="0" t="s">
        <v>37</v>
      </c>
      <c r="D5" s="0" t="n">
        <f aca="false">SUM('list of textbookS'!E2:E31)</f>
        <v>192</v>
      </c>
      <c r="L5" s="0" t="s">
        <v>38</v>
      </c>
    </row>
    <row r="6" customFormat="false" ht="15" hidden="false" customHeight="false" outlineLevel="0" collapsed="false">
      <c r="A6" s="0" t="s">
        <v>39</v>
      </c>
      <c r="D6" s="0" t="n">
        <f aca="false">D4-D5</f>
        <v>69</v>
      </c>
    </row>
    <row r="7" customFormat="false" ht="15" hidden="false" customHeight="false" outlineLevel="0" collapsed="false">
      <c r="A7" s="0" t="s">
        <v>40</v>
      </c>
      <c r="D7" s="0" t="n">
        <f aca="false">COUNTIF('list of textbookS'!F2:F31,"Available")</f>
        <v>20</v>
      </c>
    </row>
    <row r="8" customFormat="false" ht="15" hidden="false" customHeight="false" outlineLevel="0" collapsed="false">
      <c r="A8" s="0" t="s">
        <v>41</v>
      </c>
      <c r="D8" s="0" t="n">
        <f aca="false">COUNTIF('list of textbookS'!F2:F31,"Not available")</f>
        <v>10</v>
      </c>
    </row>
    <row r="9" customFormat="false" ht="15" hidden="false" customHeight="false" outlineLevel="0" collapsed="false">
      <c r="A9" s="0" t="s">
        <v>42</v>
      </c>
      <c r="D9" s="4" t="n">
        <f aca="false">D5/D4</f>
        <v>0.735632183908046</v>
      </c>
    </row>
    <row r="10" customFormat="false" ht="15" hidden="false" customHeight="false" outlineLevel="0" collapsed="false">
      <c r="D10" s="4"/>
    </row>
    <row r="11" customFormat="false" ht="15" hidden="false" customHeight="false" outlineLevel="0" collapsed="false">
      <c r="D11" s="4"/>
    </row>
    <row r="12" customFormat="false" ht="15" hidden="false" customHeight="false" outlineLevel="0" collapsed="false">
      <c r="D12" s="4"/>
    </row>
    <row r="13" customFormat="false" ht="15" hidden="false" customHeight="false" outlineLevel="0" collapsed="false">
      <c r="D13" s="4"/>
    </row>
    <row r="14" customFormat="false" ht="15" hidden="false" customHeight="false" outlineLevel="0" collapsed="false">
      <c r="D14" s="4"/>
    </row>
    <row r="15" customFormat="false" ht="15" hidden="false" customHeight="false" outlineLevel="0" collapsed="false">
      <c r="D15" s="4"/>
    </row>
    <row r="16" customFormat="false" ht="15" hidden="false" customHeight="false" outlineLevel="0" collapsed="false">
      <c r="D16" s="4"/>
    </row>
    <row r="17" customFormat="false" ht="15" hidden="false" customHeight="false" outlineLevel="0" collapsed="false">
      <c r="D17" s="4"/>
    </row>
    <row r="18" customFormat="false" ht="15" hidden="false" customHeight="false" outlineLevel="0" collapsed="false">
      <c r="D18" s="4"/>
    </row>
    <row r="19" customFormat="false" ht="15" hidden="false" customHeight="false" outlineLevel="0" collapsed="false">
      <c r="D19" s="4"/>
    </row>
    <row r="20" customFormat="false" ht="15" hidden="false" customHeight="false" outlineLevel="0" collapsed="false">
      <c r="D20" s="4"/>
    </row>
    <row r="21" customFormat="false" ht="15" hidden="false" customHeight="false" outlineLevel="0" collapsed="false">
      <c r="D21" s="4"/>
    </row>
    <row r="22" customFormat="false" ht="15" hidden="false" customHeight="false" outlineLevel="0" collapsed="false">
      <c r="D22" s="4"/>
    </row>
    <row r="23" customFormat="false" ht="15" hidden="false" customHeight="false" outlineLevel="0" collapsed="false">
      <c r="D23" s="4"/>
    </row>
    <row r="24" customFormat="false" ht="15" hidden="false" customHeight="false" outlineLevel="0" collapsed="false">
      <c r="D24" s="4"/>
    </row>
    <row r="25" customFormat="false" ht="15" hidden="false" customHeight="false" outlineLevel="0" collapsed="false">
      <c r="D25" s="4"/>
    </row>
    <row r="26" customFormat="false" ht="15" hidden="false" customHeight="false" outlineLevel="0" collapsed="false">
      <c r="D26" s="4"/>
    </row>
    <row r="27" customFormat="false" ht="15" hidden="false" customHeight="false" outlineLevel="0" collapsed="false">
      <c r="D27" s="4"/>
    </row>
    <row r="28" customFormat="false" ht="15" hidden="false" customHeight="false" outlineLevel="0" collapsed="false">
      <c r="D28" s="4"/>
    </row>
    <row r="29" customFormat="false" ht="15" hidden="false" customHeight="false" outlineLevel="0" collapsed="false">
      <c r="D29" s="4"/>
    </row>
    <row r="30" customFormat="false" ht="15" hidden="false" customHeight="false" outlineLevel="0" collapsed="false">
      <c r="D30" s="4"/>
    </row>
    <row r="31" customFormat="false" ht="15" hidden="false" customHeight="false" outlineLevel="0" collapsed="false">
      <c r="D31" s="4"/>
    </row>
    <row r="32" customFormat="false" ht="15" hidden="false" customHeight="false" outlineLevel="0" collapsed="false">
      <c r="D32" s="4"/>
    </row>
    <row r="33" customFormat="false" ht="15" hidden="false" customHeight="false" outlineLevel="0" collapsed="false">
      <c r="D33" s="4"/>
    </row>
    <row r="34" customFormat="false" ht="15" hidden="false" customHeight="false" outlineLevel="0" collapsed="false">
      <c r="D34" s="4"/>
    </row>
    <row r="35" customFormat="false" ht="15" hidden="false" customHeight="false" outlineLevel="0" collapsed="false">
      <c r="D35" s="4"/>
    </row>
    <row r="36" customFormat="false" ht="15" hidden="false" customHeight="false" outlineLevel="0" collapsed="false">
      <c r="D36" s="4"/>
    </row>
    <row r="37" customFormat="false" ht="15" hidden="false" customHeight="false" outlineLevel="0" collapsed="false">
      <c r="D37" s="4"/>
    </row>
    <row r="38" customFormat="false" ht="15" hidden="false" customHeight="false" outlineLevel="0" collapsed="false">
      <c r="D38" s="4"/>
    </row>
    <row r="39" customFormat="false" ht="15" hidden="false" customHeight="false" outlineLevel="0" collapsed="false">
      <c r="D39" s="4"/>
    </row>
    <row r="41" customFormat="false" ht="15" hidden="false" customHeight="false" outlineLevel="0" collapsed="false">
      <c r="B41" s="5" t="s">
        <v>43</v>
      </c>
      <c r="C41" s="5"/>
      <c r="D41" s="5"/>
    </row>
    <row r="42" customFormat="false" ht="15" hidden="false" customHeight="false" outlineLevel="0" collapsed="false">
      <c r="A42" s="0" t="s">
        <v>0</v>
      </c>
      <c r="B42" s="0" t="s">
        <v>3</v>
      </c>
      <c r="C42" s="0" t="s">
        <v>4</v>
      </c>
      <c r="D42" s="6" t="s">
        <v>44</v>
      </c>
      <c r="E42" s="6" t="s">
        <v>45</v>
      </c>
      <c r="F42" s="6"/>
      <c r="G42" s="6"/>
    </row>
    <row r="43" customFormat="false" ht="15" hidden="false" customHeight="false" outlineLevel="0" collapsed="false">
      <c r="A43" s="0" t="s">
        <v>6</v>
      </c>
      <c r="B43" s="0" t="n">
        <f aca="false">SUMIF('list of textbookS'!A$2:$A$31,A43,'list of textbookS'!D$2:D$31)</f>
        <v>40</v>
      </c>
      <c r="C43" s="0" t="n">
        <f aca="false">SUMIF('list of textbookS'!A$2:$A$31,A43,'list of textbookS'!E$2:E$31)</f>
        <v>40</v>
      </c>
      <c r="D43" s="0" t="n">
        <f aca="false">B43-C43</f>
        <v>0</v>
      </c>
      <c r="E43" s="4" t="n">
        <f aca="false">C43/B43</f>
        <v>1</v>
      </c>
    </row>
    <row r="44" customFormat="false" ht="15" hidden="false" customHeight="false" outlineLevel="0" collapsed="false">
      <c r="A44" s="0" t="s">
        <v>14</v>
      </c>
      <c r="B44" s="0" t="n">
        <f aca="false">SUMIF('list of textbookS'!A$2:$A$31,A44,'list of textbookS'!D$2:D$31)</f>
        <v>60</v>
      </c>
      <c r="C44" s="0" t="n">
        <f aca="false">SUMIF('list of textbookS'!A$2:$A$31,A44,'list of textbookS'!E$2:E$31)</f>
        <v>60</v>
      </c>
      <c r="D44" s="0" t="n">
        <f aca="false">B44-C44</f>
        <v>0</v>
      </c>
      <c r="E44" s="4" t="n">
        <f aca="false">C44/B44</f>
        <v>1</v>
      </c>
    </row>
    <row r="45" customFormat="false" ht="15" hidden="false" customHeight="false" outlineLevel="0" collapsed="false">
      <c r="A45" s="0" t="s">
        <v>15</v>
      </c>
      <c r="B45" s="0" t="n">
        <f aca="false">SUMIF('list of textbookS'!A$2:$A$31,A45,'list of textbookS'!D$2:D$31)</f>
        <v>40</v>
      </c>
      <c r="C45" s="0" t="n">
        <f aca="false">SUMIF('list of textbookS'!A$2:$A$31,A45,'list of textbookS'!E$2:E$31)</f>
        <v>16</v>
      </c>
      <c r="D45" s="0" t="n">
        <f aca="false">B45-C45</f>
        <v>24</v>
      </c>
      <c r="E45" s="4" t="n">
        <f aca="false">C45/B45</f>
        <v>0.4</v>
      </c>
    </row>
    <row r="46" customFormat="false" ht="15" hidden="false" customHeight="false" outlineLevel="0" collapsed="false">
      <c r="A46" s="0" t="s">
        <v>21</v>
      </c>
      <c r="B46" s="0" t="n">
        <f aca="false">SUMIF('list of textbookS'!A$2:$A$31,A46,'list of textbookS'!D$2:D$31)</f>
        <v>49</v>
      </c>
      <c r="C46" s="0" t="n">
        <f aca="false">SUMIF('list of textbookS'!A$2:$A$31,A46,'list of textbookS'!E$2:E$31)</f>
        <v>20</v>
      </c>
      <c r="D46" s="0" t="n">
        <f aca="false">B46-C46</f>
        <v>29</v>
      </c>
      <c r="E46" s="4" t="n">
        <f aca="false">C46/B46</f>
        <v>0.408163265306122</v>
      </c>
    </row>
    <row r="47" customFormat="false" ht="15" hidden="false" customHeight="false" outlineLevel="0" collapsed="false">
      <c r="A47" s="0" t="s">
        <v>24</v>
      </c>
      <c r="B47" s="0" t="n">
        <f aca="false">SUMIF('list of textbookS'!A$2:$A$31,A47,'list of textbookS'!D$2:D$31)</f>
        <v>20</v>
      </c>
      <c r="C47" s="0" t="n">
        <f aca="false">SUMIF('list of textbookS'!A$2:$A$31,A47,'list of textbookS'!E$2:E$31)</f>
        <v>4</v>
      </c>
      <c r="D47" s="0" t="n">
        <f aca="false">B47-C47</f>
        <v>16</v>
      </c>
      <c r="E47" s="4" t="n">
        <f aca="false">C47/B47</f>
        <v>0.2</v>
      </c>
    </row>
    <row r="48" customFormat="false" ht="15" hidden="false" customHeight="false" outlineLevel="0" collapsed="false">
      <c r="A48" s="0" t="s">
        <v>28</v>
      </c>
      <c r="B48" s="0" t="n">
        <f aca="false">SUMIF('list of textbookS'!A$2:$A$31,A48,'list of textbookS'!D$2:D$31)</f>
        <v>12</v>
      </c>
      <c r="C48" s="0" t="n">
        <f aca="false">SUMIF('list of textbookS'!A$2:$A$31,A48,'list of textbookS'!E$2:E$31)</f>
        <v>12</v>
      </c>
      <c r="D48" s="0" t="n">
        <f aca="false">B48-C48</f>
        <v>0</v>
      </c>
      <c r="E48" s="4" t="n">
        <f aca="false">C48/B48</f>
        <v>1</v>
      </c>
    </row>
    <row r="49" customFormat="false" ht="15" hidden="false" customHeight="false" outlineLevel="0" collapsed="false">
      <c r="A49" s="0" t="s">
        <v>29</v>
      </c>
      <c r="B49" s="0" t="n">
        <f aca="false">SUMIF('list of textbookS'!A$2:$A$31,A49,'list of textbookS'!D$2:D$31)</f>
        <v>5</v>
      </c>
      <c r="C49" s="0" t="n">
        <f aca="false">SUMIF('list of textbookS'!A$2:$A$31,A49,'list of textbookS'!E$2:E$31)</f>
        <v>5</v>
      </c>
      <c r="D49" s="0" t="n">
        <f aca="false">B49-C49</f>
        <v>0</v>
      </c>
      <c r="E49" s="4" t="n">
        <f aca="false">C49/B49</f>
        <v>1</v>
      </c>
    </row>
    <row r="50" customFormat="false" ht="15" hidden="false" customHeight="false" outlineLevel="0" collapsed="false">
      <c r="A50" s="0" t="s">
        <v>30</v>
      </c>
      <c r="B50" s="0" t="n">
        <f aca="false">SUMIF('list of textbookS'!A$2:$A$31,A50,'list of textbookS'!D$2:D$31)</f>
        <v>6</v>
      </c>
      <c r="C50" s="0" t="n">
        <f aca="false">SUMIF('list of textbookS'!A$2:$A$31,A50,'list of textbookS'!E$2:E$31)</f>
        <v>6</v>
      </c>
      <c r="D50" s="0" t="n">
        <f aca="false">B50-C50</f>
        <v>0</v>
      </c>
      <c r="E50" s="4" t="n">
        <f aca="false">C50/B50</f>
        <v>1</v>
      </c>
    </row>
    <row r="51" customFormat="false" ht="15" hidden="false" customHeight="false" outlineLevel="0" collapsed="false">
      <c r="A51" s="0" t="s">
        <v>32</v>
      </c>
      <c r="B51" s="0" t="n">
        <f aca="false">SUMIF('list of textbookS'!A$2:$A$31,A51,'list of textbookS'!D$2:D$31)</f>
        <v>8</v>
      </c>
      <c r="C51" s="0" t="n">
        <f aca="false">SUMIF('list of textbookS'!A$2:$A$31,A51,'list of textbookS'!E$2:E$31)</f>
        <v>8</v>
      </c>
      <c r="D51" s="0" t="n">
        <f aca="false">B51-C51</f>
        <v>0</v>
      </c>
      <c r="E51" s="4" t="n">
        <f aca="false">C51/B51</f>
        <v>1</v>
      </c>
    </row>
    <row r="52" customFormat="false" ht="15" hidden="false" customHeight="false" outlineLevel="0" collapsed="false">
      <c r="A52" s="0" t="s">
        <v>46</v>
      </c>
      <c r="B52" s="0" t="n">
        <f aca="false">SUMIF('list of textbookS'!A$2:$A$31,A52,'list of textbookS'!D$2:D$31)</f>
        <v>0</v>
      </c>
      <c r="C52" s="0" t="n">
        <f aca="false">SUMIF('list of textbookS'!A$2:$A$31,A52,'list of textbookS'!E$2:E$31)</f>
        <v>0</v>
      </c>
      <c r="D52" s="0" t="n">
        <f aca="false">B52-C52</f>
        <v>0</v>
      </c>
      <c r="E52" s="4" t="n">
        <v>0</v>
      </c>
    </row>
    <row r="53" customFormat="false" ht="15" hidden="false" customHeight="false" outlineLevel="0" collapsed="false">
      <c r="A53" s="0" t="s">
        <v>33</v>
      </c>
      <c r="B53" s="0" t="n">
        <f aca="false">SUMIF('list of textbookS'!A$2:$A$31,A53,'list of textbookS'!D$2:D$31)</f>
        <v>1</v>
      </c>
      <c r="C53" s="0" t="n">
        <f aca="false">SUMIF('list of textbookS'!A$2:$A$31,A53,'list of textbookS'!E$2:E$31)</f>
        <v>1</v>
      </c>
      <c r="D53" s="0" t="n">
        <f aca="false">B53-C53</f>
        <v>0</v>
      </c>
      <c r="E53" s="4" t="n">
        <f aca="false">C53/B53</f>
        <v>1</v>
      </c>
    </row>
    <row r="54" customFormat="false" ht="15" hidden="false" customHeight="false" outlineLevel="0" collapsed="false">
      <c r="E54" s="4"/>
    </row>
    <row r="55" customFormat="false" ht="15" hidden="false" customHeight="false" outlineLevel="0" collapsed="false">
      <c r="E55" s="4"/>
    </row>
    <row r="57" customFormat="false" ht="15" hidden="false" customHeight="false" outlineLevel="0" collapsed="false">
      <c r="B57" s="5" t="s">
        <v>47</v>
      </c>
      <c r="C57" s="5"/>
      <c r="D57" s="5"/>
    </row>
    <row r="58" customFormat="false" ht="15" hidden="false" customHeight="false" outlineLevel="0" collapsed="false">
      <c r="A58" s="0" t="s">
        <v>1</v>
      </c>
      <c r="B58" s="0" t="s">
        <v>3</v>
      </c>
      <c r="C58" s="0" t="s">
        <v>4</v>
      </c>
      <c r="D58" s="0" t="s">
        <v>44</v>
      </c>
      <c r="E58" s="0" t="s">
        <v>48</v>
      </c>
    </row>
    <row r="59" customFormat="false" ht="15" hidden="false" customHeight="false" outlineLevel="0" collapsed="false">
      <c r="A59" s="0" t="s">
        <v>7</v>
      </c>
      <c r="B59" s="0" t="n">
        <f aca="false">SUMIF('list of textbookS'!B$2:B$31,A59,'list of textbookS'!D$2:D$31)</f>
        <v>48</v>
      </c>
      <c r="C59" s="0" t="n">
        <f aca="false">SUMIF('list of textbookS'!B$2:B$31,A59,'list of textbookS'!E$2:E$31)</f>
        <v>48</v>
      </c>
      <c r="D59" s="0" t="n">
        <f aca="false">B59-C59</f>
        <v>0</v>
      </c>
      <c r="E59" s="4" t="n">
        <f aca="false">C59/B59</f>
        <v>1</v>
      </c>
    </row>
    <row r="60" customFormat="false" ht="15" hidden="false" customHeight="false" outlineLevel="0" collapsed="false">
      <c r="A60" s="0" t="s">
        <v>12</v>
      </c>
      <c r="B60" s="0" t="n">
        <f aca="false">SUMIF('list of textbookS'!B$2:B$31,A60,'list of textbookS'!D$2:D$31)</f>
        <v>48</v>
      </c>
      <c r="C60" s="0" t="n">
        <f aca="false">SUMIF('list of textbookS'!B$2:B$31,A60,'list of textbookS'!E$2:E$31)</f>
        <v>38</v>
      </c>
      <c r="D60" s="0" t="n">
        <f aca="false">B60-C60</f>
        <v>10</v>
      </c>
      <c r="E60" s="4" t="n">
        <f aca="false">C60/B60</f>
        <v>0.791666666666667</v>
      </c>
    </row>
    <row r="61" customFormat="false" ht="15" hidden="false" customHeight="false" outlineLevel="0" collapsed="false">
      <c r="A61" s="0" t="s">
        <v>10</v>
      </c>
      <c r="B61" s="0" t="n">
        <f aca="false">SUMIF('list of textbookS'!B$2:B$31,A61,'list of textbookS'!D$2:D$31)</f>
        <v>30</v>
      </c>
      <c r="C61" s="0" t="n">
        <f aca="false">SUMIF('list of textbookS'!B$2:B$31,A61,'list of textbookS'!E$2:E$31)</f>
        <v>30</v>
      </c>
      <c r="D61" s="0" t="n">
        <f aca="false">B61-C61</f>
        <v>0</v>
      </c>
      <c r="E61" s="4" t="n">
        <f aca="false">C61/B61</f>
        <v>1</v>
      </c>
    </row>
    <row r="62" customFormat="false" ht="15" hidden="false" customHeight="false" outlineLevel="0" collapsed="false">
      <c r="A62" s="0" t="s">
        <v>11</v>
      </c>
      <c r="B62" s="0" t="n">
        <f aca="false">SUMIF('list of textbookS'!B$2:B$31,A62,'list of textbookS'!D$2:D$31)</f>
        <v>30</v>
      </c>
      <c r="C62" s="0" t="n">
        <f aca="false">SUMIF('list of textbookS'!B$2:B$31,A62,'list of textbookS'!E$2:E$31)</f>
        <v>30</v>
      </c>
      <c r="D62" s="0" t="n">
        <f aca="false">B62-C62</f>
        <v>0</v>
      </c>
      <c r="E62" s="4" t="n">
        <f aca="false">C62/B62</f>
        <v>1</v>
      </c>
    </row>
    <row r="63" customFormat="false" ht="15" hidden="false" customHeight="false" outlineLevel="0" collapsed="false">
      <c r="A63" s="0" t="s">
        <v>17</v>
      </c>
      <c r="B63" s="0" t="n">
        <f aca="false">SUMIF('list of textbookS'!B$2:B$31,A63,'list of textbookS'!D$2:D$31)</f>
        <v>22</v>
      </c>
      <c r="C63" s="0" t="n">
        <f aca="false">SUMIF('list of textbookS'!B$2:B$31,A63,'list of textbookS'!E$2:E$31)</f>
        <v>0</v>
      </c>
      <c r="D63" s="0" t="n">
        <f aca="false">B63-C63</f>
        <v>22</v>
      </c>
      <c r="E63" s="4" t="n">
        <f aca="false">C63/B63</f>
        <v>0</v>
      </c>
    </row>
    <row r="64" customFormat="false" ht="15" hidden="false" customHeight="false" outlineLevel="0" collapsed="false">
      <c r="A64" s="0" t="s">
        <v>19</v>
      </c>
      <c r="B64" s="0" t="n">
        <f aca="false">SUMIF('list of textbookS'!B$2:B$31,A64,'list of textbookS'!D$2:D$31)</f>
        <v>21</v>
      </c>
      <c r="C64" s="0" t="n">
        <f aca="false">SUMIF('list of textbookS'!B$2:B$31,A64,'list of textbookS'!E$2:E$31)</f>
        <v>10</v>
      </c>
      <c r="D64" s="0" t="n">
        <f aca="false">B64-C64</f>
        <v>11</v>
      </c>
      <c r="E64" s="4" t="n">
        <f aca="false">C64/B64</f>
        <v>0.476190476190476</v>
      </c>
    </row>
    <row r="65" customFormat="false" ht="15" hidden="false" customHeight="false" outlineLevel="0" collapsed="false">
      <c r="A65" s="0" t="s">
        <v>20</v>
      </c>
      <c r="B65" s="0" t="n">
        <f aca="false">SUMIF('list of textbookS'!B$2:B$31,A65,'list of textbookS'!D$2:D$31)</f>
        <v>30</v>
      </c>
      <c r="C65" s="0" t="n">
        <f aca="false">SUMIF('list of textbookS'!B$2:B$31,A65,'list of textbookS'!E$2:E$31)</f>
        <v>8</v>
      </c>
      <c r="D65" s="0" t="n">
        <f aca="false">B65-C65</f>
        <v>22</v>
      </c>
      <c r="E65" s="4" t="n">
        <f aca="false">C65/B65</f>
        <v>0.266666666666667</v>
      </c>
    </row>
    <row r="66" customFormat="false" ht="15" hidden="false" customHeight="false" outlineLevel="0" collapsed="false">
      <c r="A66" s="0" t="s">
        <v>49</v>
      </c>
      <c r="B66" s="0" t="n">
        <f aca="false">SUMIF('list of textbookS'!B$2:B$31,A66,'list of textbookS'!D$2:D$31)</f>
        <v>0</v>
      </c>
      <c r="C66" s="0" t="n">
        <f aca="false">SUMIF('list of textbookS'!B$2:B$31,A66,'list of textbookS'!E$2:E$31)</f>
        <v>0</v>
      </c>
      <c r="D66" s="0" t="n">
        <f aca="false">B66-C66</f>
        <v>0</v>
      </c>
      <c r="E66" s="4" t="n">
        <f aca="false">IF(B66=0,0,C66/B66)</f>
        <v>0</v>
      </c>
    </row>
    <row r="67" customFormat="false" ht="15" hidden="false" customHeight="false" outlineLevel="0" collapsed="false">
      <c r="A67" s="0" t="s">
        <v>27</v>
      </c>
      <c r="B67" s="0" t="n">
        <f aca="false">SUMIF('list of textbookS'!B$2:B$31,A67,'list of textbookS'!D$2:D$31)</f>
        <v>4</v>
      </c>
      <c r="C67" s="0" t="n">
        <f aca="false">SUMIF('list of textbookS'!B$2:B$31,A67,'list of textbookS'!E$2:E$31)</f>
        <v>0</v>
      </c>
      <c r="D67" s="0" t="n">
        <f aca="false">B67-C67</f>
        <v>4</v>
      </c>
      <c r="E67" s="4" t="n">
        <f aca="false">C67/B67</f>
        <v>0</v>
      </c>
    </row>
  </sheetData>
  <mergeCells count="2">
    <mergeCell ref="B41:D41"/>
    <mergeCell ref="B57:D5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LibreOffice/25.2.7.1$Windows_x86 LibreOffice_project/16e8e36d1610f10597ed778c3dcb0a5aa0ed5d6f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2026-10-06T17:06:19Z</dcterms:created>
  <dc:creator>rosa</dc:creator>
  <dc:description/>
  <dc:language>en-US</dc:language>
  <cp:lastModifiedBy/>
  <dcterms:modified xsi:type="dcterms:W3CDTF">2026-10-24T23:56:17Z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